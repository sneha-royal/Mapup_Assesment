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91630\Documents\MapUp-DA-Assessment-2024-main\submissions\"/>
    </mc:Choice>
  </mc:AlternateContent>
  <xr:revisionPtr revIDLastSave="0" documentId="13_ncr:1_{9365EFF7-2751-4387-A74C-AEBF78CFB2AA}"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a="1"/>
  <c r="C23" i="20" s="1"/>
  <c r="I23" i="20" a="1"/>
  <c r="I23" i="20" s="1"/>
  <c r="H23" i="20" a="1"/>
  <c r="H23" i="20" s="1"/>
  <c r="D22" i="19"/>
  <c r="D12" i="19" a="1"/>
  <c r="D12" i="19" s="1"/>
  <c r="B6" i="18" a="1"/>
  <c r="B6" i="18" s="1"/>
  <c r="F30" i="18"/>
  <c r="F29" i="18"/>
  <c r="F28" i="18"/>
  <c r="E30" i="18"/>
  <c r="E29" i="18"/>
  <c r="E28" i="18"/>
  <c r="D30" i="18"/>
  <c r="D29" i="18"/>
  <c r="D28" i="18"/>
  <c r="C30" i="18"/>
  <c r="C29" i="18"/>
  <c r="C28" i="18"/>
  <c r="F6" i="18" a="1"/>
  <c r="F6" i="18" s="1"/>
  <c r="E6" i="18" a="1"/>
  <c r="E6" i="18" s="1"/>
  <c r="C6" i="18" a="1"/>
  <c r="C6" i="18" s="1"/>
  <c r="D6" i="18" a="1"/>
  <c r="D6" i="18" s="1"/>
  <c r="H42" i="1"/>
  <c r="B29" i="18" l="1"/>
  <c r="B30" i="18"/>
  <c r="B28" i="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<sst xmlns="http://schemas.openxmlformats.org/spreadsheetml/2006/main" count="425" uniqueCount="201">
  <si>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</si>
  <si>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</si>
  <si>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</si>
  <si>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</si>
  <si>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</si>
  <si>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</si>
  <si>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</si>
  <si>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</si>
  <si>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</si>
  <si>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</si>
  <si>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</si>
  <si>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</si>
  <si>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</si>
  <si>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</si>
  <si>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</si>
  <si>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</si>
  <si>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</si>
  <si>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</si>
  <si>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</si>
  <si>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</si>
  <si>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</si>
  <si>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</si>
  <si>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</si>
  <si>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</si>
  <si>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</si>
  <si>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</si>
  <si>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</si>
  <si>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</si>
  <si>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</si>
  <si>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</si>
  <si>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</si>
  <si>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</si>
  <si>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</si>
  <si>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</si>
  <si>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</si>
  <si>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</si>
  <si>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</si>
  <si>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</si>
  <si>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</si>
  <si>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</si>
  <si>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</si>
  <si>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</si>
  <si>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</si>
  <si>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</si>
  <si>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</si>
  <si>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</si>
  <si>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</si>
  <si>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</si>
  <si>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</si>
  <si>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</si>
  <si>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</si>
  <si>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</si>
  <si>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</si>
  <si>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</si>
  <si>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</si>
  <si>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</si>
  <si>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</si>
  <si>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</si>
  <si>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</si>
  <si>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</si>
  <si>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</si>
  <si>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</si>
  <si>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</si>
  <si>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</si>
  <si>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</si>
  <si>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</si>
  <si>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</si>
  <si>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</si>
  <si>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</si>
  <si>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</si>
  <si>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</si>
  <si>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</si>
  <si>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</si>
  <si>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</si>
  <si>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</si>
  <si>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</si>
  <si>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</si>
  <si>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</si>
  <si>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</si>
  <si>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</si>
  <si>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</si>
  <si>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</si>
  <si>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</si>
  <si>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</si>
  <si>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</si>
  <si>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</si>
  <si>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</si>
  <si>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</si>
  <si>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</si>
  <si>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</si>
  <si>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</si>
  <si>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</si>
  <si>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</si>
  <si>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</si>
  <si>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</si>
  <si>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</si>
  <si>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</si>
  <si>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</si>
  <si>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</si>
  <si>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</si>
  <si>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</si>
  <si>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</si>
  <si>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</si>
  <si>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</si>
  <si>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</si>
  <si>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</si>
  <si>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</si>
  <si>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</si>
  <si>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</si>
  <si>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</si>
  <si>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</si>
  <si>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</si>
  <si>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</si>
  <si>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</si>
  <si>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</si>
  <si>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</si>
  <si>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</si>
  <si>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</si>
  <si>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</si>
  <si>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</si>
  <si>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</si>
  <si>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</si>
  <si>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</si>
  <si>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</si>
  <si>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</si>
  <si>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</si>
  <si>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</si>
  <si>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</si>
  <si>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</si>
  <si>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</si>
  <si>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</si>
  <si>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</si>
  <si>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</si>
  <si>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</si>
  <si>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</si>
  <si>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</si>
  <si>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</si>
  <si>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</si>
  <si>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</si>
  <si>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</si>
  <si>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</si>
  <si>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</si>
  <si>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</si>
  <si>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</si>
  <si>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</si>
  <si>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</si>
  <si>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</si>
  <si>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</si>
  <si>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</si>
  <si>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</si>
  <si>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</si>
  <si>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</si>
  <si>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</si>
  <si>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</si>
  <si>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</si>
  <si>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</si>
  <si>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</si>
  <si>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</si>
  <si>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</si>
  <si>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</si>
  <si>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</si>
  <si>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</si>
  <si>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</si>
  <si>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</si>
  <si>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</si>
  <si>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</si>
  <si>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</si>
  <si>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</si>
  <si>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</si>
  <si>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</si>
  <si>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</si>
  <si>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</si>
  <si>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</si>
  <si>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</si>
  <si>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</si>
  <si>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</si>
  <si>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</si>
  <si>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Task1</t>
  </si>
  <si>
    <t>1.Highlight all '-1' values in red colour and all '0' values in green.</t>
  </si>
  <si>
    <t>1.Select the entire data range.
2.Go to the Home tab and click Conditional Formatting.
3.Select New Rule.
4.Choose Format only cells that contain.
5.Set the rule for cells with the value -1, and then click Format and select a red fill color.
6.Repeat the same process for cells with the value 0 but choose a green fill color.</t>
  </si>
  <si>
    <t>2.Freeze the top row</t>
  </si>
  <si>
    <t>1.Select the first row.
2.Go to the View tab.
3.Click Freeze Panes and select Freeze Top Row.</t>
  </si>
  <si>
    <t>3.Give the sum of all values greater than '20' in column H labelled 'car2'</t>
  </si>
  <si>
    <t>4.Format the dates given in column X labelled 'dates' in format: 'YYYY-MM-DD'</t>
  </si>
  <si>
    <t>1.Select the cells in column X.
2.Right-click and choose Format Cells.
3.In the Number tab, select Custom.
4.Enter the format YYYY-MM-DD and click OK.</t>
  </si>
  <si>
    <t>1.Select an empty cell where you want the sum to appear.
2.Use the following formula:
=SUMIF(H:H,"&gt;20")
3.This will calculate the sum of all values in column H that are greater than 20.</t>
  </si>
  <si>
    <r>
      <t>To fill the car1 values corresponding to names from dataset,use vlookup() function,</t>
    </r>
    <r>
      <rPr>
        <b/>
        <sz val="10"/>
        <color rgb="FF000000"/>
        <rFont val="Calibri"/>
        <family val="2"/>
        <scheme val="minor"/>
      </rPr>
      <t xml:space="preserve">  =VLOOKUP(A6:A27,Dataset!A1:G40,7,FALSE)</t>
    </r>
  </si>
  <si>
    <r>
      <t xml:space="preserve">To fill the bus2 values corresponding to names from dataset,use vlookup() function, </t>
    </r>
    <r>
      <rPr>
        <b/>
        <sz val="10"/>
        <color rgb="FF000000"/>
        <rFont val="Calibri"/>
        <family val="2"/>
        <scheme val="minor"/>
      </rPr>
      <t xml:space="preserve"> =VLOOKUP(A6:A27,Dataset!A1:G40,13,FALSE)</t>
    </r>
  </si>
  <si>
    <r>
      <t xml:space="preserve">To fill the rv3 values corresponding to names from dataset,use vlookup() function,  </t>
    </r>
    <r>
      <rPr>
        <b/>
        <sz val="10"/>
        <color rgb="FF000000"/>
        <rFont val="Calibri"/>
        <family val="2"/>
        <scheme val="minor"/>
      </rPr>
      <t>=VLOOKUP(A6:A27,Dataset!A1:G40,18,FALSE)</t>
    </r>
  </si>
  <si>
    <r>
      <t xml:space="preserve">To fill the truck2 values corresponding to names from dataset,use vlookup() function,  </t>
    </r>
    <r>
      <rPr>
        <b/>
        <sz val="10"/>
        <color rgb="FF000000"/>
        <rFont val="Calibri"/>
        <family val="2"/>
        <scheme val="minor"/>
      </rPr>
      <t>=VLOOKUP(A6:A27,Dataset!A1:G40,20,FALSE)</t>
    </r>
  </si>
  <si>
    <r>
      <t xml:space="preserve">To fill the taxi2 values corresponding to names from dataset,use vlookup() function,  </t>
    </r>
    <r>
      <rPr>
        <b/>
        <sz val="10"/>
        <color rgb="FF000000"/>
        <rFont val="Calibri"/>
        <family val="2"/>
        <scheme val="minor"/>
      </rPr>
      <t>=VLOOKUP(A6:A27,Dataset!A1:G40,22,FALSE)</t>
    </r>
  </si>
  <si>
    <t>use min(colName),max(colName),average(Colname)</t>
  </si>
  <si>
    <t>To calculate minimum ,maximum and average of columns</t>
  </si>
  <si>
    <t>Select the cell containing the data (e.g., A1).
Go to the "Data" tab in the Excel ribbon.
Click on "Text to Columns".
In the "Convert Text to Columns Wizard":
Choose "Delimited", and click Next.
In the delimiters section, select "Other" and enter a hyphen (-) in the box. Uncheck any other delimiters.
Click Next.
Click Finish.</t>
  </si>
  <si>
    <t>UsingText to column values</t>
  </si>
  <si>
    <t>SUM(IFERROR(Sales, 20))</t>
  </si>
  <si>
    <t>1.Select Sales range
2.The IFERROR function replaces any #N/A values with 20 before summing the column.
This will give you the total sum of sales, treating #N/A as 20.</t>
  </si>
  <si>
    <t>name1</t>
  </si>
  <si>
    <t>nmme2</t>
  </si>
  <si>
    <t>INDEX($A$9:$J$18,MATCH(VLOOKUP(A23:A35,$M$9:$N$18,2,FALSE),$A$9:$A$18,0),MATCH(VLOOKUP(B23:B35,$M$9:$N$18,2,FALSE),$A$9:$J$9,0))</t>
  </si>
  <si>
    <t>The first VLOOKUP + MATCH finds the row in Table 1A.
The second VLOOKUP + MATCH finds the column in Table A.
INDEX gives you the value at that row and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</si>
</sst>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0" fontId="9" fillId="0" borderId="0" xfId="0" applyFont="1"/>
    <xf numFmtId="166" fontId="7" fillId="0" borderId="0" xfId="0" applyNumberFormat="1" applyFont="1"/>
    <xf numFmtId="166" fontId="3" fillId="0" borderId="0" xfId="0" applyNumberFormat="1" applyFont="1"/>
    <xf numFmtId="166" fontId="0" fillId="0" borderId="0" xfId="0" applyNumberFormat="1"/>
    <xf numFmtId="0" fontId="3" fillId="0" borderId="0" xfId="0" applyFont="1" applyAlignment="1">
      <alignment wrapText="1"/>
    </xf>
    <xf numFmtId="0" fontId="3" fillId="0" borderId="0" xfId="0" applyFont="1"/>
    <xf numFmtId="0" fontId="7" fillId="0" borderId="0" xfId="0" applyFont="1"/>
    <xf numFmtId="0" fontId="8" fillId="0" borderId="0" xfId="0" applyFont="1" applyAlignment="1">
      <alignment wrapText="1"/>
    </xf>
    <xf numFmtId="0" fontId="9" fillId="0" borderId="0" xfId="0" applyFont="1"/>
    <xf numFmtId="0" fontId="8" fillId="0" borderId="0" xfId="0" applyFont="1"/>
    <xf numFmtId="0" fontId="8" fillId="0" borderId="0" xfId="0" applyFont="1" applyAlignment="1">
      <alignment horizontal="center"/>
    </xf>
    <xf numFmtId="0" fontId="15" fillId="0" borderId="0" xfId="0" applyFont="1" applyAlignment="1">
      <alignment wrapText="1"/>
    </xf>
    <xf numFmtId="0" fontId="15"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theme="9"/>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109</v>
      </c>
    </row>
    <row r="2" spans="1:3" x14ac:dyDescent="0.3">
      <c r="A2" s="2" t="s">
        <v>110</v>
      </c>
    </row>
    <row r="3" spans="1:3" x14ac:dyDescent="0.3">
      <c r="A3" s="2" t="s">
        <v>111</v>
      </c>
    </row>
    <row r="4" spans="1:3" ht="14.4" x14ac:dyDescent="0.3">
      <c r="A4" s="2" t="s">
        <v>176</v>
      </c>
      <c r="C4" s="1"/>
    </row>
    <row r="5" spans="1:3" x14ac:dyDescent="0.3">
      <c r="A5" s="2" t="s">
        <v>152</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68"/>
  <sheetViews>
    <sheetView topLeftCell="N1" zoomScaleNormal="100" workbookViewId="0">
      <pane ySplit="1" topLeftCell="A2" activePane="bottomLeft" state="frozen"/>
      <selection pane="bottomLeft" activeCell="G2" sqref="G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8"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7" t="s">
        <v>106</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8">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8">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8">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8">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8">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8">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8">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8">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8">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8">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8">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8">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8">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8">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8">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8">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8">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8">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8">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8">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8">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8">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8">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8">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8">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8">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8">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8">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8">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8">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8">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8">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8">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8">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8">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8">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8">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8">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8">
        <v>45162</v>
      </c>
    </row>
    <row r="42" spans="1:24" x14ac:dyDescent="0.3">
      <c r="H42" s="1">
        <f>SUMIF(H2:H40,"&gt;20")</f>
        <v>1473.0000000000002</v>
      </c>
    </row>
    <row r="43" spans="1:24" x14ac:dyDescent="0.3">
      <c r="A43" s="3" t="s">
        <v>177</v>
      </c>
    </row>
    <row r="44" spans="1:24" x14ac:dyDescent="0.3">
      <c r="A44" s="52" t="s">
        <v>178</v>
      </c>
      <c r="B44" s="51"/>
      <c r="C44" s="51"/>
      <c r="D44" s="51"/>
      <c r="E44" s="51"/>
      <c r="F44" s="51"/>
      <c r="G44" s="51"/>
    </row>
    <row r="45" spans="1:24" x14ac:dyDescent="0.3">
      <c r="A45" s="50" t="s">
        <v>179</v>
      </c>
      <c r="B45" s="51"/>
      <c r="C45" s="51"/>
      <c r="D45" s="51"/>
      <c r="E45" s="51"/>
      <c r="F45" s="51"/>
    </row>
    <row r="46" spans="1:24" x14ac:dyDescent="0.3">
      <c r="A46" s="51"/>
      <c r="B46" s="51"/>
      <c r="C46" s="51"/>
      <c r="D46" s="51"/>
      <c r="E46" s="51"/>
      <c r="F46" s="51"/>
    </row>
    <row r="47" spans="1:24" x14ac:dyDescent="0.3">
      <c r="A47" s="51"/>
      <c r="B47" s="51"/>
      <c r="C47" s="51"/>
      <c r="D47" s="51"/>
      <c r="E47" s="51"/>
      <c r="F47" s="51"/>
    </row>
    <row r="48" spans="1:24" x14ac:dyDescent="0.3">
      <c r="A48" s="51"/>
      <c r="B48" s="51"/>
      <c r="C48" s="51"/>
      <c r="D48" s="51"/>
      <c r="E48" s="51"/>
      <c r="F48" s="51"/>
    </row>
    <row r="49" spans="1:24" x14ac:dyDescent="0.3">
      <c r="A49" s="51"/>
      <c r="B49" s="51"/>
      <c r="C49" s="51"/>
      <c r="D49" s="51"/>
      <c r="E49" s="51"/>
      <c r="F49" s="51"/>
    </row>
    <row r="50" spans="1:24" x14ac:dyDescent="0.3">
      <c r="A50" s="51"/>
      <c r="B50" s="51"/>
      <c r="C50" s="51"/>
      <c r="D50" s="51"/>
      <c r="E50" s="51"/>
      <c r="F50" s="51"/>
    </row>
    <row r="51" spans="1:24" x14ac:dyDescent="0.3">
      <c r="A51" s="2"/>
    </row>
    <row r="52" spans="1:24" x14ac:dyDescent="0.3">
      <c r="A52" s="46" t="s">
        <v>180</v>
      </c>
    </row>
    <row r="53" spans="1:24" x14ac:dyDescent="0.3">
      <c r="A53" s="53" t="s">
        <v>181</v>
      </c>
      <c r="B53" s="54"/>
      <c r="C53" s="54"/>
      <c r="D53" s="54"/>
      <c r="E53" s="54"/>
    </row>
    <row r="54" spans="1:24" x14ac:dyDescent="0.3">
      <c r="A54" s="54"/>
      <c r="B54" s="54"/>
      <c r="C54" s="54"/>
      <c r="D54" s="54"/>
      <c r="E54" s="54"/>
    </row>
    <row r="55" spans="1:24" x14ac:dyDescent="0.3">
      <c r="A55" s="54"/>
      <c r="B55" s="54"/>
      <c r="C55" s="54"/>
      <c r="D55" s="54"/>
      <c r="E55" s="54"/>
    </row>
    <row r="56" spans="1:24" customFormat="1" ht="13.2" x14ac:dyDescent="0.25">
      <c r="X56" s="49"/>
    </row>
    <row r="57" spans="1:24" x14ac:dyDescent="0.3">
      <c r="A57" s="54" t="s">
        <v>182</v>
      </c>
      <c r="B57" s="55"/>
      <c r="C57" s="55"/>
      <c r="D57" s="55"/>
      <c r="E57" s="55"/>
    </row>
    <row r="58" spans="1:24" x14ac:dyDescent="0.3">
      <c r="A58" s="53" t="s">
        <v>185</v>
      </c>
      <c r="B58" s="54"/>
      <c r="C58" s="54"/>
      <c r="D58" s="54"/>
      <c r="E58" s="54"/>
      <c r="F58" s="54"/>
    </row>
    <row r="59" spans="1:24" x14ac:dyDescent="0.3">
      <c r="A59" s="54"/>
      <c r="B59" s="54"/>
      <c r="C59" s="54"/>
      <c r="D59" s="54"/>
      <c r="E59" s="54"/>
      <c r="F59" s="54"/>
    </row>
    <row r="60" spans="1:24" x14ac:dyDescent="0.3">
      <c r="A60" s="54"/>
      <c r="B60" s="54"/>
      <c r="C60" s="54"/>
      <c r="D60" s="54"/>
      <c r="E60" s="54"/>
      <c r="F60" s="54"/>
    </row>
    <row r="61" spans="1:24" x14ac:dyDescent="0.3">
      <c r="A61" s="54"/>
      <c r="B61" s="54"/>
      <c r="C61" s="54"/>
      <c r="D61" s="54"/>
      <c r="E61" s="54"/>
      <c r="F61" s="54"/>
    </row>
    <row r="62" spans="1:24" x14ac:dyDescent="0.3">
      <c r="A62" s="2"/>
    </row>
    <row r="63" spans="1:24" x14ac:dyDescent="0.3">
      <c r="A63" s="54" t="s">
        <v>183</v>
      </c>
      <c r="B63" s="54"/>
      <c r="C63" s="54"/>
      <c r="D63" s="54"/>
      <c r="E63" s="54"/>
      <c r="F63" s="54"/>
    </row>
    <row r="64" spans="1:24" x14ac:dyDescent="0.3">
      <c r="A64" s="50" t="s">
        <v>184</v>
      </c>
      <c r="B64" s="51"/>
      <c r="C64" s="51"/>
      <c r="D64" s="51"/>
      <c r="E64" s="51"/>
    </row>
    <row r="65" spans="1:5" x14ac:dyDescent="0.3">
      <c r="A65" s="51"/>
      <c r="B65" s="51"/>
      <c r="C65" s="51"/>
      <c r="D65" s="51"/>
      <c r="E65" s="51"/>
    </row>
    <row r="66" spans="1:5" x14ac:dyDescent="0.3">
      <c r="A66" s="51"/>
      <c r="B66" s="51"/>
      <c r="C66" s="51"/>
      <c r="D66" s="51"/>
      <c r="E66" s="51"/>
    </row>
    <row r="67" spans="1:5" x14ac:dyDescent="0.3">
      <c r="A67" s="51"/>
      <c r="B67" s="51"/>
      <c r="C67" s="51"/>
      <c r="D67" s="51"/>
      <c r="E67" s="51"/>
    </row>
    <row r="68" spans="1:5" x14ac:dyDescent="0.3">
      <c r="D68" s="1"/>
    </row>
  </sheetData>
  <mergeCells count="7">
    <mergeCell ref="A64:E67"/>
    <mergeCell ref="A44:G44"/>
    <mergeCell ref="A45:F50"/>
    <mergeCell ref="A53:E55"/>
    <mergeCell ref="A57:E57"/>
    <mergeCell ref="A58:F61"/>
    <mergeCell ref="A63:F63"/>
  </mergeCells>
  <conditionalFormatting sqref="A57:A58 A1:A45 A51:A52 A62:A64 A69:A1048576">
    <cfRule type="duplicateValues" dxfId="3" priority="4"/>
  </conditionalFormatting>
  <conditionalFormatting sqref="B62 B51:B52 B1:B43 B69:B1048576">
    <cfRule type="duplicateValues" dxfId="2" priority="3"/>
  </conditionalFormatting>
  <conditionalFormatting sqref="G2:W40">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19" sqref="B19"/>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160</v>
      </c>
      <c r="C2" s="2"/>
    </row>
    <row r="3" spans="1:5" x14ac:dyDescent="0.3">
      <c r="A3" s="6">
        <v>1</v>
      </c>
      <c r="B3" s="2" t="s">
        <v>108</v>
      </c>
      <c r="C3" s="2" t="s">
        <v>45</v>
      </c>
      <c r="E3" s="1">
        <v>5</v>
      </c>
    </row>
    <row r="4" spans="1:5" x14ac:dyDescent="0.3">
      <c r="A4" s="6">
        <v>2</v>
      </c>
      <c r="B4" s="2" t="s">
        <v>46</v>
      </c>
      <c r="C4" s="2"/>
      <c r="E4" s="1">
        <v>5</v>
      </c>
    </row>
    <row r="5" spans="1:5" x14ac:dyDescent="0.3">
      <c r="A5" s="6">
        <v>3</v>
      </c>
      <c r="B5" s="2" t="s">
        <v>104</v>
      </c>
      <c r="C5" s="34" t="s">
        <v>105</v>
      </c>
      <c r="E5" s="1">
        <v>10</v>
      </c>
    </row>
    <row r="6" spans="1:5" x14ac:dyDescent="0.3">
      <c r="A6" s="6">
        <v>4</v>
      </c>
      <c r="B6" s="2" t="s">
        <v>107</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Q30"/>
  <sheetViews>
    <sheetView topLeftCell="A13" zoomScaleNormal="100" workbookViewId="0">
      <selection activeCell="H31" sqref="H3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17" s="41" customFormat="1" ht="21" x14ac:dyDescent="0.4">
      <c r="A1" s="42"/>
      <c r="B1" s="41" t="s">
        <v>164</v>
      </c>
    </row>
    <row r="2" spans="1:17" s="41" customFormat="1" ht="21" x14ac:dyDescent="0.4">
      <c r="B2" s="41" t="s">
        <v>161</v>
      </c>
    </row>
    <row r="3" spans="1:17" ht="14.4" x14ac:dyDescent="0.3">
      <c r="A3" s="1"/>
      <c r="B3" s="1"/>
      <c r="C3" s="1"/>
      <c r="D3" s="1"/>
      <c r="E3" s="1"/>
      <c r="F3" s="1"/>
      <c r="G3" s="1"/>
    </row>
    <row r="4" spans="1:17" ht="23.4" x14ac:dyDescent="0.45">
      <c r="A4" s="18" t="s">
        <v>162</v>
      </c>
      <c r="B4" s="1"/>
      <c r="C4" s="1"/>
      <c r="D4" s="1"/>
      <c r="E4" s="1"/>
      <c r="F4" s="1"/>
      <c r="G4" s="1"/>
    </row>
    <row r="5" spans="1:17" ht="14.4" x14ac:dyDescent="0.3">
      <c r="A5" s="20" t="s">
        <v>64</v>
      </c>
      <c r="B5" s="21" t="s">
        <v>79</v>
      </c>
      <c r="C5" s="22" t="s">
        <v>71</v>
      </c>
      <c r="D5" s="21" t="s">
        <v>75</v>
      </c>
      <c r="E5" s="22" t="s">
        <v>76</v>
      </c>
      <c r="F5" s="23" t="s">
        <v>77</v>
      </c>
    </row>
    <row r="6" spans="1:17" ht="14.4" x14ac:dyDescent="0.3">
      <c r="A6" s="7" t="s">
        <v>40</v>
      </c>
      <c r="B6" s="12" cm="1">
        <f t="array" ref="B6:B27">VLOOKUP(A6:A27,Dataset!A1:G40,7,FALSE)</f>
        <v>2.7</v>
      </c>
      <c r="C6" s="12" cm="1">
        <f t="array" ref="C6:C27">VLOOKUP(A6:A27,Dataset!A1:W40,13,FALSE)</f>
        <v>5.3</v>
      </c>
      <c r="D6" s="12" cm="1">
        <f t="array" ref="D6:D27">VLOOKUP(A6:A27,Dataset!A1:W40,18,FALSE)</f>
        <v>4.2</v>
      </c>
      <c r="E6" s="12" cm="1">
        <f t="array" ref="E6:E27">VLOOKUP(A6:A27,Dataset!A1:W40,20,FALSE)</f>
        <v>8.9</v>
      </c>
      <c r="F6" s="8" cm="1">
        <f t="array" ref="F6:F27">VLOOKUP(A6:A27,Dataset!A1:W40,22,FALSE)</f>
        <v>4.2</v>
      </c>
    </row>
    <row r="7" spans="1:17" ht="14.4" x14ac:dyDescent="0.3">
      <c r="A7" s="7" t="s">
        <v>4</v>
      </c>
      <c r="B7" s="12">
        <v>2.7</v>
      </c>
      <c r="C7" s="12">
        <v>5.3</v>
      </c>
      <c r="D7" s="12">
        <v>4.2</v>
      </c>
      <c r="E7" s="12">
        <v>8.9</v>
      </c>
      <c r="F7" s="8">
        <v>4.2</v>
      </c>
    </row>
    <row r="8" spans="1:17" ht="14.4" x14ac:dyDescent="0.3">
      <c r="A8" s="7" t="s">
        <v>7</v>
      </c>
      <c r="B8" s="12">
        <v>3.6</v>
      </c>
      <c r="C8" s="12">
        <v>7.6</v>
      </c>
      <c r="D8" s="12">
        <v>5.8</v>
      </c>
      <c r="E8" s="12">
        <v>12.2</v>
      </c>
      <c r="F8" s="8">
        <v>5.8</v>
      </c>
      <c r="H8" s="54" t="s">
        <v>153</v>
      </c>
      <c r="I8" s="54"/>
      <c r="J8" s="54"/>
      <c r="K8" s="54"/>
      <c r="L8" s="54"/>
    </row>
    <row r="9" spans="1:17" ht="14.4" x14ac:dyDescent="0.3">
      <c r="A9" s="7" t="s">
        <v>8</v>
      </c>
      <c r="B9" s="12">
        <v>4.9000000000000004</v>
      </c>
      <c r="C9" s="12">
        <v>10</v>
      </c>
      <c r="D9" s="12">
        <v>8.1</v>
      </c>
      <c r="E9" s="12">
        <v>17</v>
      </c>
      <c r="F9" s="8">
        <v>8.1</v>
      </c>
      <c r="H9" s="53" t="s">
        <v>186</v>
      </c>
      <c r="I9" s="53"/>
      <c r="J9" s="53"/>
      <c r="K9" s="53"/>
      <c r="L9" s="53"/>
      <c r="M9" s="53"/>
      <c r="N9" s="53"/>
      <c r="O9" s="53"/>
      <c r="P9" s="53"/>
      <c r="Q9" s="53"/>
    </row>
    <row r="10" spans="1:17" ht="14.4" x14ac:dyDescent="0.3">
      <c r="A10" s="7" t="s">
        <v>11</v>
      </c>
      <c r="B10" s="12">
        <v>9.4</v>
      </c>
      <c r="C10" s="12">
        <v>19.2</v>
      </c>
      <c r="D10" s="12">
        <v>16.100000000000001</v>
      </c>
      <c r="E10" s="12">
        <v>32.799999999999997</v>
      </c>
      <c r="F10" s="8">
        <v>16.100000000000001</v>
      </c>
      <c r="H10" s="53"/>
      <c r="I10" s="53"/>
      <c r="J10" s="53"/>
      <c r="K10" s="53"/>
      <c r="L10" s="53"/>
      <c r="M10" s="53"/>
      <c r="N10" s="53"/>
      <c r="O10" s="53"/>
      <c r="P10" s="53"/>
      <c r="Q10" s="53"/>
    </row>
    <row r="11" spans="1:17" ht="14.4" x14ac:dyDescent="0.3">
      <c r="A11" s="7" t="s">
        <v>12</v>
      </c>
      <c r="B11" s="12">
        <v>11.6</v>
      </c>
      <c r="C11" s="12">
        <v>23.6</v>
      </c>
      <c r="D11" s="12">
        <v>21.3</v>
      </c>
      <c r="E11" s="12">
        <v>43</v>
      </c>
      <c r="F11" s="8">
        <v>21.3</v>
      </c>
      <c r="H11" s="46"/>
      <c r="I11" s="46"/>
      <c r="J11" s="46"/>
      <c r="K11" s="46"/>
      <c r="L11" s="46"/>
      <c r="M11" s="46"/>
      <c r="N11" s="46"/>
    </row>
    <row r="12" spans="1:17" ht="14.4" x14ac:dyDescent="0.3">
      <c r="A12" s="7" t="s">
        <v>14</v>
      </c>
      <c r="B12" s="12">
        <v>18.399999999999999</v>
      </c>
      <c r="C12" s="12">
        <v>37.200000000000003</v>
      </c>
      <c r="D12" s="12">
        <v>33.799999999999997</v>
      </c>
      <c r="E12" s="12">
        <v>67.900000000000006</v>
      </c>
      <c r="F12" s="8">
        <v>33.799999999999997</v>
      </c>
      <c r="H12" s="55" t="s">
        <v>187</v>
      </c>
      <c r="I12" s="55"/>
      <c r="J12" s="55"/>
      <c r="K12" s="55"/>
      <c r="L12" s="55"/>
      <c r="M12" s="55"/>
      <c r="N12" s="55"/>
      <c r="O12" s="55"/>
      <c r="P12" s="55"/>
    </row>
    <row r="13" spans="1:17" ht="14.4" x14ac:dyDescent="0.3">
      <c r="A13" s="7" t="s">
        <v>15</v>
      </c>
      <c r="B13" s="12">
        <v>0</v>
      </c>
      <c r="C13" s="12">
        <v>0</v>
      </c>
      <c r="D13" s="12">
        <v>0</v>
      </c>
      <c r="E13" s="12">
        <v>0</v>
      </c>
      <c r="F13" s="8">
        <v>0</v>
      </c>
    </row>
    <row r="14" spans="1:17" ht="14.4" x14ac:dyDescent="0.3">
      <c r="A14" s="7" t="s">
        <v>16</v>
      </c>
      <c r="B14" s="12">
        <v>21.9</v>
      </c>
      <c r="C14" s="12">
        <v>42.3</v>
      </c>
      <c r="D14" s="12">
        <v>40.1</v>
      </c>
      <c r="E14" s="12">
        <v>76.599999999999994</v>
      </c>
      <c r="F14" s="8">
        <v>40.1</v>
      </c>
      <c r="H14" s="55" t="s">
        <v>188</v>
      </c>
      <c r="I14" s="55"/>
      <c r="J14" s="55"/>
      <c r="K14" s="55"/>
      <c r="L14" s="55"/>
      <c r="M14" s="55"/>
      <c r="N14" s="55"/>
      <c r="O14" s="55"/>
      <c r="P14" s="55"/>
    </row>
    <row r="15" spans="1:17" ht="14.4" x14ac:dyDescent="0.3">
      <c r="A15" s="7" t="s">
        <v>18</v>
      </c>
      <c r="B15" s="12">
        <v>26.8</v>
      </c>
      <c r="C15" s="12">
        <v>54.6</v>
      </c>
      <c r="D15" s="12">
        <v>47.9</v>
      </c>
      <c r="E15" s="12">
        <v>96.8</v>
      </c>
      <c r="F15" s="8">
        <v>47.9</v>
      </c>
    </row>
    <row r="16" spans="1:17" ht="14.4" x14ac:dyDescent="0.3">
      <c r="A16" s="7" t="s">
        <v>20</v>
      </c>
      <c r="B16" s="12">
        <v>28.5</v>
      </c>
      <c r="C16" s="12">
        <v>58.3</v>
      </c>
      <c r="D16" s="12">
        <v>52.3</v>
      </c>
      <c r="E16" s="12">
        <v>106.1</v>
      </c>
      <c r="F16" s="8">
        <v>52.3</v>
      </c>
      <c r="H16" s="55" t="s">
        <v>189</v>
      </c>
      <c r="I16" s="55"/>
      <c r="J16" s="55"/>
      <c r="K16" s="55"/>
      <c r="L16" s="55"/>
      <c r="M16" s="55"/>
      <c r="N16" s="55"/>
      <c r="O16" s="55"/>
      <c r="P16" s="55"/>
    </row>
    <row r="17" spans="1:16" ht="14.4" x14ac:dyDescent="0.3">
      <c r="A17" s="7" t="s">
        <v>22</v>
      </c>
      <c r="B17" s="12">
        <v>30.7</v>
      </c>
      <c r="C17" s="12">
        <v>62.5</v>
      </c>
      <c r="D17" s="12">
        <v>57</v>
      </c>
      <c r="E17" s="12">
        <v>115.1</v>
      </c>
      <c r="F17" s="8">
        <v>57</v>
      </c>
    </row>
    <row r="18" spans="1:16" ht="14.4" x14ac:dyDescent="0.3">
      <c r="A18" s="7" t="s">
        <v>23</v>
      </c>
      <c r="B18" s="12">
        <v>33.799999999999997</v>
      </c>
      <c r="C18" s="12">
        <v>67.900000000000006</v>
      </c>
      <c r="D18" s="12">
        <v>61.4</v>
      </c>
      <c r="E18" s="12">
        <v>124.4</v>
      </c>
      <c r="F18" s="8">
        <v>61.4</v>
      </c>
      <c r="H18" s="56" t="s">
        <v>190</v>
      </c>
      <c r="I18" s="56"/>
      <c r="J18" s="56"/>
      <c r="K18" s="56"/>
      <c r="L18" s="56"/>
      <c r="M18" s="56"/>
      <c r="N18" s="56"/>
      <c r="O18" s="56"/>
      <c r="P18" s="56"/>
    </row>
    <row r="19" spans="1:16" ht="14.4" x14ac:dyDescent="0.3">
      <c r="A19" s="7" t="s">
        <v>24</v>
      </c>
      <c r="B19" s="12">
        <v>34.700000000000003</v>
      </c>
      <c r="C19" s="12">
        <v>70.8</v>
      </c>
      <c r="D19" s="12">
        <v>63.6</v>
      </c>
      <c r="E19" s="12">
        <v>128.6</v>
      </c>
      <c r="F19" s="8">
        <v>63.6</v>
      </c>
    </row>
    <row r="20" spans="1:16" ht="14.4" x14ac:dyDescent="0.3">
      <c r="A20" s="7" t="s">
        <v>28</v>
      </c>
      <c r="B20" s="12">
        <v>0</v>
      </c>
      <c r="C20" s="12">
        <v>0</v>
      </c>
      <c r="D20" s="12">
        <v>0</v>
      </c>
      <c r="E20" s="12">
        <v>0</v>
      </c>
      <c r="F20" s="8">
        <v>0</v>
      </c>
    </row>
    <row r="21" spans="1:16" ht="14.4" x14ac:dyDescent="0.3">
      <c r="A21" s="7" t="s">
        <v>57</v>
      </c>
      <c r="B21" s="12">
        <v>41.3</v>
      </c>
      <c r="C21" s="12">
        <v>83.5</v>
      </c>
      <c r="D21" s="12">
        <v>75</v>
      </c>
      <c r="E21" s="12">
        <v>151.5</v>
      </c>
      <c r="F21" s="8">
        <v>75</v>
      </c>
    </row>
    <row r="22" spans="1:16" ht="14.4" x14ac:dyDescent="0.3">
      <c r="A22" s="7" t="s">
        <v>58</v>
      </c>
      <c r="B22" s="12">
        <v>-1</v>
      </c>
      <c r="C22" s="12">
        <v>-1</v>
      </c>
      <c r="D22" s="12">
        <v>-1</v>
      </c>
      <c r="E22" s="12">
        <v>-1</v>
      </c>
      <c r="F22" s="8">
        <v>-1</v>
      </c>
    </row>
    <row r="23" spans="1:16" ht="14.4" x14ac:dyDescent="0.3">
      <c r="A23" s="7" t="s">
        <v>31</v>
      </c>
      <c r="B23" s="12">
        <v>45</v>
      </c>
      <c r="C23" s="12">
        <v>90.9</v>
      </c>
      <c r="D23" s="12">
        <v>79.400000000000006</v>
      </c>
      <c r="E23" s="12">
        <v>160.9</v>
      </c>
      <c r="F23" s="8">
        <v>79.400000000000006</v>
      </c>
      <c r="H23" s="55" t="s">
        <v>192</v>
      </c>
      <c r="I23" s="55"/>
      <c r="J23" s="55"/>
      <c r="K23" s="55"/>
    </row>
    <row r="24" spans="1:16" ht="14.4" x14ac:dyDescent="0.3">
      <c r="A24" s="7" t="s">
        <v>32</v>
      </c>
      <c r="B24" s="12">
        <v>-1</v>
      </c>
      <c r="C24" s="12">
        <v>-1</v>
      </c>
      <c r="D24" s="12">
        <v>-1</v>
      </c>
      <c r="E24" s="12">
        <v>-1</v>
      </c>
      <c r="F24" s="8">
        <v>-1</v>
      </c>
      <c r="H24" s="54" t="s">
        <v>191</v>
      </c>
      <c r="I24" s="54"/>
      <c r="J24" s="54"/>
      <c r="K24" s="54"/>
    </row>
    <row r="25" spans="1:16" ht="14.4" x14ac:dyDescent="0.3">
      <c r="A25" s="7" t="s">
        <v>34</v>
      </c>
      <c r="B25" s="12">
        <v>43.3</v>
      </c>
      <c r="C25" s="12">
        <v>87.6</v>
      </c>
      <c r="D25" s="12">
        <v>79.400000000000006</v>
      </c>
      <c r="E25" s="12">
        <v>160.9</v>
      </c>
      <c r="F25" s="8">
        <v>79.400000000000006</v>
      </c>
    </row>
    <row r="26" spans="1:16" ht="14.4" x14ac:dyDescent="0.3">
      <c r="A26" s="7" t="s">
        <v>37</v>
      </c>
      <c r="B26" s="12">
        <v>49.1</v>
      </c>
      <c r="C26" s="12">
        <v>99.5</v>
      </c>
      <c r="D26" s="12">
        <v>90.9</v>
      </c>
      <c r="E26" s="12">
        <v>183.5</v>
      </c>
      <c r="F26" s="8">
        <v>90.9</v>
      </c>
    </row>
    <row r="27" spans="1:16" ht="14.4" x14ac:dyDescent="0.3">
      <c r="A27" s="7" t="s">
        <v>39</v>
      </c>
      <c r="B27" s="12">
        <v>51.8</v>
      </c>
      <c r="C27" s="12">
        <v>104.5</v>
      </c>
      <c r="D27" s="12">
        <v>93.1</v>
      </c>
      <c r="E27" s="12">
        <v>188.1</v>
      </c>
      <c r="F27" s="8">
        <v>93.1</v>
      </c>
    </row>
    <row r="28" spans="1:16" ht="14.4" x14ac:dyDescent="0.3">
      <c r="A28" s="19" t="s">
        <v>82</v>
      </c>
      <c r="B28" s="31">
        <f>MIN(_xlfn.ANCHORARRAY(B6))</f>
        <v>-1</v>
      </c>
      <c r="C28" s="31">
        <f>MIN(_xlfn.ANCHORARRAY(C6))</f>
        <v>-1</v>
      </c>
      <c r="D28" s="31">
        <f>MIN(_xlfn.ANCHORARRAY(D6))</f>
        <v>-1</v>
      </c>
      <c r="E28" s="31">
        <f>MIN(_xlfn.ANCHORARRAY(E6))</f>
        <v>-1</v>
      </c>
      <c r="F28" s="31">
        <f>MIN(_xlfn.ANCHORARRAY(F6))</f>
        <v>-1</v>
      </c>
    </row>
    <row r="29" spans="1:16" ht="14.4" x14ac:dyDescent="0.3">
      <c r="A29" s="19" t="s">
        <v>83</v>
      </c>
      <c r="B29" s="31">
        <f>MAX(_xlfn.ANCHORARRAY(B6))</f>
        <v>51.8</v>
      </c>
      <c r="C29" s="31">
        <f>MAX(_xlfn.ANCHORARRAY(C6))</f>
        <v>104.5</v>
      </c>
      <c r="D29" s="31">
        <f>MAX(_xlfn.ANCHORARRAY(D6))</f>
        <v>93.1</v>
      </c>
      <c r="E29" s="31">
        <f>MAX(_xlfn.ANCHORARRAY(E6))</f>
        <v>188.1</v>
      </c>
      <c r="F29" s="31">
        <f>MAX(_xlfn.ANCHORARRAY(F6))</f>
        <v>93.1</v>
      </c>
    </row>
    <row r="30" spans="1:16" ht="14.4" x14ac:dyDescent="0.3">
      <c r="A30" s="19" t="s">
        <v>84</v>
      </c>
      <c r="B30" s="31">
        <f>AVERAGE(_xlfn.ANCHORARRAY(B6))</f>
        <v>20.827272727272728</v>
      </c>
      <c r="C30" s="31">
        <f>AVERAGE(_xlfn.ANCHORARRAY(C6))</f>
        <v>42.209090909090904</v>
      </c>
      <c r="D30" s="31">
        <f>AVERAGE(_xlfn.ANCHORARRAY(D6))</f>
        <v>37.800000000000004</v>
      </c>
      <c r="E30" s="31">
        <f>AVERAGE(_xlfn.ANCHORARRAY(E6))</f>
        <v>76.418181818181822</v>
      </c>
      <c r="F30" s="31">
        <f>AVERAGE(_xlfn.ANCHORARRAY(F6))</f>
        <v>37.800000000000004</v>
      </c>
    </row>
  </sheetData>
  <mergeCells count="8">
    <mergeCell ref="H24:K24"/>
    <mergeCell ref="H8:L8"/>
    <mergeCell ref="H9:Q10"/>
    <mergeCell ref="H12:P12"/>
    <mergeCell ref="H14:P14"/>
    <mergeCell ref="H16:P16"/>
    <mergeCell ref="H18:P18"/>
    <mergeCell ref="H23:K2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L58"/>
  <sheetViews>
    <sheetView zoomScaleNormal="100" workbookViewId="0">
      <selection activeCell="H27" sqref="H27"/>
    </sheetView>
  </sheetViews>
  <sheetFormatPr defaultColWidth="11" defaultRowHeight="14.4" x14ac:dyDescent="0.3"/>
  <cols>
    <col min="1" max="1" width="39.77734375" style="1" bestFit="1" customWidth="1"/>
    <col min="2" max="16384" width="11" style="1"/>
  </cols>
  <sheetData>
    <row r="1" spans="1:12" s="41" customFormat="1" ht="21" x14ac:dyDescent="0.4">
      <c r="A1" s="42" t="s">
        <v>56</v>
      </c>
      <c r="B1" s="41" t="s">
        <v>173</v>
      </c>
    </row>
    <row r="2" spans="1:12" customFormat="1" ht="13.2" x14ac:dyDescent="0.25"/>
    <row r="3" spans="1:12" s="2" customFormat="1" x14ac:dyDescent="0.3">
      <c r="B3" s="1" t="s">
        <v>151</v>
      </c>
    </row>
    <row r="4" spans="1:12" ht="18" x14ac:dyDescent="0.35">
      <c r="A4" s="43" t="s">
        <v>53</v>
      </c>
      <c r="B4" s="43" t="s">
        <v>194</v>
      </c>
    </row>
    <row r="5" spans="1:12" ht="18" x14ac:dyDescent="0.35">
      <c r="A5" s="43" t="s">
        <v>153</v>
      </c>
      <c r="B5" s="57" t="s">
        <v>193</v>
      </c>
      <c r="C5" s="58"/>
      <c r="D5" s="58"/>
      <c r="E5" s="58"/>
      <c r="F5" s="58"/>
      <c r="G5" s="58"/>
      <c r="H5" s="58"/>
      <c r="I5" s="58"/>
      <c r="J5" s="58"/>
      <c r="K5" s="58"/>
      <c r="L5" s="58"/>
    </row>
    <row r="6" spans="1:12" ht="18" x14ac:dyDescent="0.35">
      <c r="A6" s="43"/>
      <c r="B6" s="58"/>
      <c r="C6" s="58"/>
      <c r="D6" s="58"/>
      <c r="E6" s="58"/>
      <c r="F6" s="58"/>
      <c r="G6" s="58"/>
      <c r="H6" s="58"/>
      <c r="I6" s="58"/>
      <c r="J6" s="58"/>
      <c r="K6" s="58"/>
      <c r="L6" s="58"/>
    </row>
    <row r="7" spans="1:12" ht="18" x14ac:dyDescent="0.35">
      <c r="A7" s="43"/>
      <c r="B7" s="58"/>
      <c r="C7" s="58"/>
      <c r="D7" s="58"/>
      <c r="E7" s="58"/>
      <c r="F7" s="58"/>
      <c r="G7" s="58"/>
      <c r="H7" s="58"/>
      <c r="I7" s="58"/>
      <c r="J7" s="58"/>
      <c r="K7" s="58"/>
      <c r="L7" s="58"/>
    </row>
    <row r="8" spans="1:12" ht="18" x14ac:dyDescent="0.35">
      <c r="A8" s="43"/>
      <c r="B8" s="58"/>
      <c r="C8" s="58"/>
      <c r="D8" s="58"/>
      <c r="E8" s="58"/>
      <c r="F8" s="58"/>
      <c r="G8" s="58"/>
      <c r="H8" s="58"/>
      <c r="I8" s="58"/>
      <c r="J8" s="58"/>
      <c r="K8" s="58"/>
      <c r="L8" s="58"/>
    </row>
    <row r="9" spans="1:12" ht="18" x14ac:dyDescent="0.35">
      <c r="A9" s="43"/>
      <c r="B9" s="58"/>
      <c r="C9" s="58"/>
      <c r="D9" s="58"/>
      <c r="E9" s="58"/>
      <c r="F9" s="58"/>
      <c r="G9" s="58"/>
      <c r="H9" s="58"/>
      <c r="I9" s="58"/>
      <c r="J9" s="58"/>
      <c r="K9" s="58"/>
      <c r="L9" s="58"/>
    </row>
    <row r="10" spans="1:12" ht="18" x14ac:dyDescent="0.35">
      <c r="A10" s="43"/>
      <c r="B10" s="58"/>
      <c r="C10" s="58"/>
      <c r="D10" s="58"/>
      <c r="E10" s="58"/>
      <c r="F10" s="58"/>
      <c r="G10" s="58"/>
      <c r="H10" s="58"/>
      <c r="I10" s="58"/>
      <c r="J10" s="58"/>
      <c r="K10" s="58"/>
      <c r="L10" s="58"/>
    </row>
    <row r="11" spans="1:12" ht="14.4" customHeight="1" x14ac:dyDescent="0.3">
      <c r="B11" s="58"/>
      <c r="C11" s="58"/>
      <c r="D11" s="58"/>
      <c r="E11" s="58"/>
      <c r="F11" s="58"/>
      <c r="G11" s="58"/>
      <c r="H11" s="58"/>
      <c r="I11" s="58"/>
      <c r="J11" s="58"/>
      <c r="K11" s="58"/>
      <c r="L11" s="58"/>
    </row>
    <row r="12" spans="1:12" ht="23.4" x14ac:dyDescent="0.45">
      <c r="A12" s="18"/>
      <c r="B12" s="58"/>
      <c r="C12" s="58"/>
      <c r="D12" s="58"/>
      <c r="E12" s="58"/>
      <c r="F12" s="58"/>
      <c r="G12" s="58"/>
      <c r="H12" s="58"/>
      <c r="I12" s="58"/>
      <c r="J12" s="58"/>
      <c r="K12" s="58"/>
      <c r="L12" s="58"/>
    </row>
    <row r="13" spans="1:12" ht="23.4" x14ac:dyDescent="0.45">
      <c r="A13" s="18"/>
      <c r="B13" s="40"/>
      <c r="C13" s="40"/>
      <c r="D13" s="40"/>
      <c r="E13" s="40"/>
      <c r="F13" s="40"/>
      <c r="G13" s="40"/>
      <c r="H13" s="40"/>
      <c r="I13" s="40"/>
      <c r="J13" s="40"/>
      <c r="K13" s="40"/>
      <c r="L13" s="40"/>
    </row>
    <row r="14" spans="1:12" x14ac:dyDescent="0.3">
      <c r="A14" s="33" t="s">
        <v>102</v>
      </c>
      <c r="B14" s="17" t="s">
        <v>49</v>
      </c>
      <c r="C14" s="17" t="s">
        <v>50</v>
      </c>
      <c r="D14" s="17" t="s">
        <v>51</v>
      </c>
      <c r="E14" s="17" t="s">
        <v>52</v>
      </c>
      <c r="F14" s="17" t="s">
        <v>54</v>
      </c>
      <c r="I14" s="2"/>
      <c r="J14" s="2"/>
    </row>
    <row r="15" spans="1:12" x14ac:dyDescent="0.3">
      <c r="A15" s="9" t="s">
        <v>121</v>
      </c>
      <c r="B15" s="13">
        <v>20000</v>
      </c>
      <c r="C15" s="13" t="s">
        <v>5</v>
      </c>
      <c r="D15" s="13">
        <v>0</v>
      </c>
      <c r="E15" s="11" t="s">
        <v>6</v>
      </c>
      <c r="F15" s="11">
        <v>24</v>
      </c>
      <c r="I15" s="2"/>
      <c r="J15" s="2"/>
    </row>
    <row r="18" spans="1:6" ht="23.4" x14ac:dyDescent="0.45">
      <c r="A18" s="18" t="s">
        <v>162</v>
      </c>
    </row>
    <row r="19" spans="1:6" x14ac:dyDescent="0.3">
      <c r="A19" s="14" t="s">
        <v>103</v>
      </c>
      <c r="B19" s="17" t="s">
        <v>49</v>
      </c>
      <c r="C19" s="15" t="s">
        <v>50</v>
      </c>
      <c r="D19" s="17" t="s">
        <v>51</v>
      </c>
      <c r="E19" s="15" t="s">
        <v>52</v>
      </c>
      <c r="F19" s="17" t="s">
        <v>54</v>
      </c>
    </row>
    <row r="20" spans="1:6" x14ac:dyDescent="0.3">
      <c r="A20" s="7" t="s">
        <v>121</v>
      </c>
      <c r="B20" s="12">
        <v>20000</v>
      </c>
      <c r="C20" s="1" t="s">
        <v>5</v>
      </c>
      <c r="D20" s="12">
        <v>0</v>
      </c>
      <c r="E20" s="1" t="s">
        <v>6</v>
      </c>
      <c r="F20" s="12">
        <v>24</v>
      </c>
    </row>
    <row r="21" spans="1:6" x14ac:dyDescent="0.3">
      <c r="A21" s="7" t="s">
        <v>122</v>
      </c>
      <c r="B21" s="12">
        <v>20002</v>
      </c>
      <c r="C21" s="1" t="s">
        <v>5</v>
      </c>
      <c r="D21" s="12">
        <v>0</v>
      </c>
      <c r="E21" s="1" t="s">
        <v>6</v>
      </c>
      <c r="F21" s="12">
        <v>24</v>
      </c>
    </row>
    <row r="22" spans="1:6" x14ac:dyDescent="0.3">
      <c r="A22" s="7" t="s">
        <v>123</v>
      </c>
      <c r="B22" s="12">
        <v>20004</v>
      </c>
      <c r="C22" s="1" t="s">
        <v>5</v>
      </c>
      <c r="D22" s="12">
        <v>0</v>
      </c>
      <c r="E22" s="1" t="s">
        <v>6</v>
      </c>
      <c r="F22" s="12">
        <v>24</v>
      </c>
    </row>
    <row r="23" spans="1:6" x14ac:dyDescent="0.3">
      <c r="A23" s="7" t="s">
        <v>124</v>
      </c>
      <c r="B23" s="12">
        <v>20006</v>
      </c>
      <c r="C23" s="1" t="s">
        <v>5</v>
      </c>
      <c r="D23" s="12">
        <v>0</v>
      </c>
      <c r="E23" s="1" t="s">
        <v>6</v>
      </c>
      <c r="F23" s="12">
        <v>24</v>
      </c>
    </row>
    <row r="24" spans="1:6" x14ac:dyDescent="0.3">
      <c r="A24" s="7" t="s">
        <v>125</v>
      </c>
      <c r="B24" s="12">
        <v>20008</v>
      </c>
      <c r="C24" s="1" t="s">
        <v>5</v>
      </c>
      <c r="D24" s="12">
        <v>0</v>
      </c>
      <c r="E24" s="1" t="s">
        <v>6</v>
      </c>
      <c r="F24" s="12">
        <v>24</v>
      </c>
    </row>
    <row r="25" spans="1:6" x14ac:dyDescent="0.3">
      <c r="A25" s="7" t="s">
        <v>126</v>
      </c>
      <c r="B25" s="12">
        <v>20010</v>
      </c>
      <c r="C25" s="1" t="s">
        <v>5</v>
      </c>
      <c r="D25" s="12">
        <v>0</v>
      </c>
      <c r="E25" s="1" t="s">
        <v>6</v>
      </c>
      <c r="F25" s="12">
        <v>24</v>
      </c>
    </row>
    <row r="26" spans="1:6" x14ac:dyDescent="0.3">
      <c r="A26" s="7" t="s">
        <v>127</v>
      </c>
      <c r="B26" s="12">
        <v>20012</v>
      </c>
      <c r="C26" s="1" t="s">
        <v>5</v>
      </c>
      <c r="D26" s="12">
        <v>0</v>
      </c>
      <c r="E26" s="1" t="s">
        <v>6</v>
      </c>
      <c r="F26" s="12">
        <v>24</v>
      </c>
    </row>
    <row r="27" spans="1:6" x14ac:dyDescent="0.3">
      <c r="A27" s="7" t="s">
        <v>128</v>
      </c>
      <c r="B27" s="12">
        <v>20014</v>
      </c>
      <c r="C27" s="1" t="s">
        <v>5</v>
      </c>
      <c r="D27" s="12">
        <v>0</v>
      </c>
      <c r="E27" s="1" t="s">
        <v>6</v>
      </c>
      <c r="F27" s="12">
        <v>24</v>
      </c>
    </row>
    <row r="28" spans="1:6" x14ac:dyDescent="0.3">
      <c r="A28" s="7" t="s">
        <v>129</v>
      </c>
      <c r="B28" s="12">
        <v>20016</v>
      </c>
      <c r="C28" s="1" t="s">
        <v>5</v>
      </c>
      <c r="D28" s="12">
        <v>0</v>
      </c>
      <c r="E28" s="1" t="s">
        <v>6</v>
      </c>
      <c r="F28" s="12">
        <v>24</v>
      </c>
    </row>
    <row r="29" spans="1:6" x14ac:dyDescent="0.3">
      <c r="A29" s="7" t="s">
        <v>130</v>
      </c>
      <c r="B29" s="12">
        <v>20018</v>
      </c>
      <c r="C29" s="1" t="s">
        <v>5</v>
      </c>
      <c r="D29" s="12">
        <v>0</v>
      </c>
      <c r="E29" s="1" t="s">
        <v>6</v>
      </c>
      <c r="F29" s="12">
        <v>24</v>
      </c>
    </row>
    <row r="30" spans="1:6" x14ac:dyDescent="0.3">
      <c r="A30" s="7" t="s">
        <v>131</v>
      </c>
      <c r="B30" s="12">
        <v>20020</v>
      </c>
      <c r="C30" s="1" t="s">
        <v>5</v>
      </c>
      <c r="D30" s="12">
        <v>0</v>
      </c>
      <c r="E30" s="1" t="s">
        <v>6</v>
      </c>
      <c r="F30" s="12">
        <v>24</v>
      </c>
    </row>
    <row r="31" spans="1:6" x14ac:dyDescent="0.3">
      <c r="A31" s="7" t="s">
        <v>132</v>
      </c>
      <c r="B31" s="12">
        <v>20022</v>
      </c>
      <c r="C31" s="1" t="s">
        <v>5</v>
      </c>
      <c r="D31" s="12">
        <v>0</v>
      </c>
      <c r="E31" s="1" t="s">
        <v>6</v>
      </c>
      <c r="F31" s="12">
        <v>24</v>
      </c>
    </row>
    <row r="32" spans="1:6" x14ac:dyDescent="0.3">
      <c r="A32" s="7" t="s">
        <v>133</v>
      </c>
      <c r="B32" s="12">
        <v>20024</v>
      </c>
      <c r="C32" s="1" t="s">
        <v>5</v>
      </c>
      <c r="D32" s="12">
        <v>0</v>
      </c>
      <c r="E32" s="1" t="s">
        <v>6</v>
      </c>
      <c r="F32" s="12">
        <v>24</v>
      </c>
    </row>
    <row r="33" spans="1:6" x14ac:dyDescent="0.3">
      <c r="A33" s="7" t="s">
        <v>134</v>
      </c>
      <c r="B33" s="12">
        <v>20026</v>
      </c>
      <c r="C33" s="1" t="s">
        <v>5</v>
      </c>
      <c r="D33" s="12">
        <v>0</v>
      </c>
      <c r="E33" s="1" t="s">
        <v>6</v>
      </c>
      <c r="F33" s="12">
        <v>24</v>
      </c>
    </row>
    <row r="34" spans="1:6" x14ac:dyDescent="0.3">
      <c r="A34" s="7" t="s">
        <v>135</v>
      </c>
      <c r="B34" s="12">
        <v>20028</v>
      </c>
      <c r="C34" s="1" t="s">
        <v>5</v>
      </c>
      <c r="D34" s="12">
        <v>0</v>
      </c>
      <c r="E34" s="1" t="s">
        <v>6</v>
      </c>
      <c r="F34" s="12">
        <v>24</v>
      </c>
    </row>
    <row r="35" spans="1:6" x14ac:dyDescent="0.3">
      <c r="A35" s="7" t="s">
        <v>136</v>
      </c>
      <c r="B35" s="12">
        <v>20030</v>
      </c>
      <c r="C35" s="1" t="s">
        <v>5</v>
      </c>
      <c r="D35" s="12">
        <v>0</v>
      </c>
      <c r="E35" s="1" t="s">
        <v>6</v>
      </c>
      <c r="F35" s="12">
        <v>24</v>
      </c>
    </row>
    <row r="36" spans="1:6" x14ac:dyDescent="0.3">
      <c r="A36" s="7" t="s">
        <v>137</v>
      </c>
      <c r="B36" s="12">
        <v>20032</v>
      </c>
      <c r="C36" s="1" t="s">
        <v>5</v>
      </c>
      <c r="D36" s="12">
        <v>0</v>
      </c>
      <c r="E36" s="1" t="s">
        <v>6</v>
      </c>
      <c r="F36" s="12">
        <v>24</v>
      </c>
    </row>
    <row r="37" spans="1:6" x14ac:dyDescent="0.3">
      <c r="A37" s="7" t="s">
        <v>138</v>
      </c>
      <c r="B37" s="12">
        <v>20034</v>
      </c>
      <c r="C37" s="1" t="s">
        <v>5</v>
      </c>
      <c r="D37" s="12">
        <v>0</v>
      </c>
      <c r="E37" s="1" t="s">
        <v>6</v>
      </c>
      <c r="F37" s="12">
        <v>24</v>
      </c>
    </row>
    <row r="38" spans="1:6" x14ac:dyDescent="0.3">
      <c r="A38" s="7" t="s">
        <v>139</v>
      </c>
      <c r="B38" s="12">
        <v>20036</v>
      </c>
      <c r="C38" s="1" t="s">
        <v>5</v>
      </c>
      <c r="D38" s="12">
        <v>0</v>
      </c>
      <c r="E38" s="1" t="s">
        <v>6</v>
      </c>
      <c r="F38" s="12">
        <v>24</v>
      </c>
    </row>
    <row r="39" spans="1:6" x14ac:dyDescent="0.3">
      <c r="A39" s="7" t="s">
        <v>140</v>
      </c>
      <c r="B39" s="12">
        <v>20038</v>
      </c>
      <c r="C39" s="1" t="s">
        <v>5</v>
      </c>
      <c r="D39" s="12">
        <v>0</v>
      </c>
      <c r="E39" s="1" t="s">
        <v>6</v>
      </c>
      <c r="F39" s="12">
        <v>24</v>
      </c>
    </row>
    <row r="40" spans="1:6" x14ac:dyDescent="0.3">
      <c r="A40" s="7" t="s">
        <v>141</v>
      </c>
      <c r="B40" s="12">
        <v>20040</v>
      </c>
      <c r="C40" s="1" t="s">
        <v>5</v>
      </c>
      <c r="D40" s="12">
        <v>0</v>
      </c>
      <c r="E40" s="1" t="s">
        <v>6</v>
      </c>
      <c r="F40" s="12">
        <v>24</v>
      </c>
    </row>
    <row r="41" spans="1:6" x14ac:dyDescent="0.3">
      <c r="A41" s="7" t="s">
        <v>142</v>
      </c>
      <c r="B41" s="12">
        <v>20042</v>
      </c>
      <c r="C41" s="1" t="s">
        <v>5</v>
      </c>
      <c r="D41" s="12">
        <v>0</v>
      </c>
      <c r="E41" s="1" t="s">
        <v>6</v>
      </c>
      <c r="F41" s="12">
        <v>24</v>
      </c>
    </row>
    <row r="42" spans="1:6" x14ac:dyDescent="0.3">
      <c r="A42" s="7" t="s">
        <v>143</v>
      </c>
      <c r="B42" s="12">
        <v>20044</v>
      </c>
      <c r="C42" s="1" t="s">
        <v>5</v>
      </c>
      <c r="D42" s="12">
        <v>0</v>
      </c>
      <c r="E42" s="1" t="s">
        <v>6</v>
      </c>
      <c r="F42" s="12">
        <v>24</v>
      </c>
    </row>
    <row r="43" spans="1:6" x14ac:dyDescent="0.3">
      <c r="A43" s="7" t="s">
        <v>144</v>
      </c>
      <c r="B43" s="12">
        <v>20046</v>
      </c>
      <c r="C43" s="1" t="s">
        <v>5</v>
      </c>
      <c r="D43" s="12">
        <v>0</v>
      </c>
      <c r="E43" s="1" t="s">
        <v>6</v>
      </c>
      <c r="F43" s="12">
        <v>24</v>
      </c>
    </row>
    <row r="44" spans="1:6" x14ac:dyDescent="0.3">
      <c r="A44" s="7" t="s">
        <v>145</v>
      </c>
      <c r="B44" s="12">
        <v>20048</v>
      </c>
      <c r="C44" s="1" t="s">
        <v>5</v>
      </c>
      <c r="D44" s="12">
        <v>0</v>
      </c>
      <c r="E44" s="1" t="s">
        <v>6</v>
      </c>
      <c r="F44" s="12">
        <v>24</v>
      </c>
    </row>
    <row r="45" spans="1:6" x14ac:dyDescent="0.3">
      <c r="A45" s="7" t="s">
        <v>146</v>
      </c>
      <c r="B45" s="12">
        <v>20050</v>
      </c>
      <c r="C45" s="1" t="s">
        <v>5</v>
      </c>
      <c r="D45" s="12">
        <v>0</v>
      </c>
      <c r="E45" s="1" t="s">
        <v>6</v>
      </c>
      <c r="F45" s="12">
        <v>24</v>
      </c>
    </row>
    <row r="46" spans="1:6" x14ac:dyDescent="0.3">
      <c r="A46" s="7" t="s">
        <v>147</v>
      </c>
      <c r="B46" s="12">
        <v>20052</v>
      </c>
      <c r="C46" s="1" t="s">
        <v>5</v>
      </c>
      <c r="D46" s="12">
        <v>0</v>
      </c>
      <c r="E46" s="1" t="s">
        <v>6</v>
      </c>
      <c r="F46" s="12">
        <v>24</v>
      </c>
    </row>
    <row r="47" spans="1:6" x14ac:dyDescent="0.3">
      <c r="A47" s="7" t="s">
        <v>148</v>
      </c>
      <c r="B47" s="12">
        <v>20054</v>
      </c>
      <c r="C47" s="1" t="s">
        <v>5</v>
      </c>
      <c r="D47" s="12">
        <v>0</v>
      </c>
      <c r="E47" s="1" t="s">
        <v>6</v>
      </c>
      <c r="F47" s="12">
        <v>24</v>
      </c>
    </row>
    <row r="48" spans="1:6" x14ac:dyDescent="0.3">
      <c r="A48" s="7" t="s">
        <v>149</v>
      </c>
      <c r="B48" s="12">
        <v>20058</v>
      </c>
      <c r="C48" s="1" t="s">
        <v>5</v>
      </c>
      <c r="D48" s="12">
        <v>0</v>
      </c>
      <c r="E48" s="1" t="s">
        <v>6</v>
      </c>
      <c r="F48" s="12">
        <v>24</v>
      </c>
    </row>
    <row r="49" spans="1:6" x14ac:dyDescent="0.3">
      <c r="A49" s="7" t="s">
        <v>150</v>
      </c>
      <c r="B49" s="12">
        <v>20060</v>
      </c>
      <c r="C49" s="1" t="s">
        <v>5</v>
      </c>
      <c r="D49" s="12">
        <v>0</v>
      </c>
      <c r="E49" s="1" t="s">
        <v>6</v>
      </c>
      <c r="F49" s="12">
        <v>24</v>
      </c>
    </row>
    <row r="50" spans="1:6" x14ac:dyDescent="0.3">
      <c r="A50" s="7" t="s">
        <v>112</v>
      </c>
      <c r="B50" s="12">
        <v>21000</v>
      </c>
      <c r="C50" s="1" t="s">
        <v>5</v>
      </c>
      <c r="D50" s="12">
        <v>0</v>
      </c>
      <c r="E50" s="1" t="s">
        <v>6</v>
      </c>
      <c r="F50" s="12">
        <v>24</v>
      </c>
    </row>
    <row r="51" spans="1:6" x14ac:dyDescent="0.3">
      <c r="A51" s="7" t="s">
        <v>113</v>
      </c>
      <c r="B51" s="12">
        <v>21002</v>
      </c>
      <c r="C51" s="1" t="s">
        <v>5</v>
      </c>
      <c r="D51" s="12">
        <v>0</v>
      </c>
      <c r="E51" s="1" t="s">
        <v>6</v>
      </c>
      <c r="F51" s="12">
        <v>24</v>
      </c>
    </row>
    <row r="52" spans="1:6" x14ac:dyDescent="0.3">
      <c r="A52" s="7" t="s">
        <v>114</v>
      </c>
      <c r="B52" s="12">
        <v>21004</v>
      </c>
      <c r="C52" s="1" t="s">
        <v>5</v>
      </c>
      <c r="D52" s="12">
        <v>0</v>
      </c>
      <c r="E52" s="1" t="s">
        <v>6</v>
      </c>
      <c r="F52" s="12">
        <v>24</v>
      </c>
    </row>
    <row r="53" spans="1:6" x14ac:dyDescent="0.3">
      <c r="A53" s="7" t="s">
        <v>115</v>
      </c>
      <c r="B53" s="12">
        <v>21006</v>
      </c>
      <c r="C53" s="1" t="s">
        <v>5</v>
      </c>
      <c r="D53" s="12">
        <v>0</v>
      </c>
      <c r="E53" s="1" t="s">
        <v>6</v>
      </c>
      <c r="F53" s="12">
        <v>24</v>
      </c>
    </row>
    <row r="54" spans="1:6" x14ac:dyDescent="0.3">
      <c r="A54" s="7" t="s">
        <v>116</v>
      </c>
      <c r="B54" s="12">
        <v>21008</v>
      </c>
      <c r="C54" s="1" t="s">
        <v>5</v>
      </c>
      <c r="D54" s="12">
        <v>0</v>
      </c>
      <c r="E54" s="1" t="s">
        <v>6</v>
      </c>
      <c r="F54" s="12">
        <v>24</v>
      </c>
    </row>
    <row r="55" spans="1:6" x14ac:dyDescent="0.3">
      <c r="A55" s="7" t="s">
        <v>117</v>
      </c>
      <c r="B55" s="12">
        <v>21010</v>
      </c>
      <c r="C55" s="1" t="s">
        <v>5</v>
      </c>
      <c r="D55" s="12">
        <v>0</v>
      </c>
      <c r="E55" s="1" t="s">
        <v>6</v>
      </c>
      <c r="F55" s="12">
        <v>24</v>
      </c>
    </row>
    <row r="56" spans="1:6" x14ac:dyDescent="0.3">
      <c r="A56" s="7" t="s">
        <v>118</v>
      </c>
      <c r="B56" s="12">
        <v>21012</v>
      </c>
      <c r="C56" s="1" t="s">
        <v>5</v>
      </c>
      <c r="D56" s="12">
        <v>0</v>
      </c>
      <c r="E56" s="1" t="s">
        <v>6</v>
      </c>
      <c r="F56" s="12">
        <v>24</v>
      </c>
    </row>
    <row r="57" spans="1:6" x14ac:dyDescent="0.3">
      <c r="A57" s="7" t="s">
        <v>119</v>
      </c>
      <c r="B57" s="12">
        <v>21014</v>
      </c>
      <c r="C57" s="1" t="s">
        <v>5</v>
      </c>
      <c r="D57" s="12">
        <v>0</v>
      </c>
      <c r="E57" s="1" t="s">
        <v>6</v>
      </c>
      <c r="F57" s="12">
        <v>24</v>
      </c>
    </row>
    <row r="58" spans="1:6" x14ac:dyDescent="0.3">
      <c r="A58" s="9" t="s">
        <v>120</v>
      </c>
      <c r="B58" s="13">
        <v>21016</v>
      </c>
      <c r="C58" s="10" t="s">
        <v>5</v>
      </c>
      <c r="D58" s="13">
        <v>0</v>
      </c>
      <c r="E58" s="10" t="s">
        <v>6</v>
      </c>
      <c r="F58" s="13">
        <v>24</v>
      </c>
    </row>
  </sheetData>
  <mergeCells count="1">
    <mergeCell ref="B5:L12"/>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H22"/>
  <sheetViews>
    <sheetView zoomScaleNormal="100" workbookViewId="0">
      <selection activeCell="F26" sqref="F2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8" ht="21" x14ac:dyDescent="0.4">
      <c r="A1" s="42" t="s">
        <v>85</v>
      </c>
      <c r="B1" s="41" t="s">
        <v>166</v>
      </c>
    </row>
    <row r="2" spans="1:8" ht="18" x14ac:dyDescent="0.35">
      <c r="B2" s="40" t="s">
        <v>165</v>
      </c>
    </row>
    <row r="5" spans="1:8" ht="14.4" x14ac:dyDescent="0.3">
      <c r="B5" s="1" t="s">
        <v>151</v>
      </c>
    </row>
    <row r="6" spans="1:8" ht="14.4" x14ac:dyDescent="0.3">
      <c r="A6" s="3" t="s">
        <v>53</v>
      </c>
      <c r="B6" s="3" t="s">
        <v>195</v>
      </c>
    </row>
    <row r="7" spans="1:8" ht="14.4" x14ac:dyDescent="0.3">
      <c r="A7" s="3" t="s">
        <v>153</v>
      </c>
      <c r="B7" s="50" t="s">
        <v>196</v>
      </c>
      <c r="C7" s="51"/>
      <c r="D7" s="51"/>
      <c r="E7" s="51"/>
      <c r="F7" s="51"/>
      <c r="G7" s="51"/>
      <c r="H7" s="51"/>
    </row>
    <row r="8" spans="1:8" x14ac:dyDescent="0.3">
      <c r="B8" s="51"/>
      <c r="C8" s="51"/>
      <c r="D8" s="51"/>
      <c r="E8" s="51"/>
      <c r="F8" s="51"/>
      <c r="G8" s="51"/>
      <c r="H8" s="51"/>
    </row>
    <row r="9" spans="1:8" x14ac:dyDescent="0.3">
      <c r="B9" s="51"/>
      <c r="C9" s="51"/>
      <c r="D9" s="51"/>
      <c r="E9" s="51"/>
      <c r="F9" s="51"/>
      <c r="G9" s="51"/>
      <c r="H9" s="51"/>
    </row>
    <row r="10" spans="1:8" ht="23.4" x14ac:dyDescent="0.45">
      <c r="A10" s="18" t="s">
        <v>162</v>
      </c>
    </row>
    <row r="11" spans="1:8" ht="14.4" x14ac:dyDescent="0.3">
      <c r="A11" s="32" t="s">
        <v>86</v>
      </c>
      <c r="B11" s="17" t="s">
        <v>87</v>
      </c>
      <c r="C11" s="17" t="s">
        <v>88</v>
      </c>
      <c r="D11" s="46" t="s">
        <v>88</v>
      </c>
    </row>
    <row r="12" spans="1:8" ht="14.4" x14ac:dyDescent="0.3">
      <c r="A12" s="32">
        <v>44927</v>
      </c>
      <c r="B12" s="17" t="s">
        <v>59</v>
      </c>
      <c r="C12" s="17">
        <v>200</v>
      </c>
      <c r="D12" s="2" cm="1">
        <f t="array" ref="D12:D21">IFERROR(C12:C21,20)</f>
        <v>200</v>
      </c>
    </row>
    <row r="13" spans="1:8" ht="14.4" x14ac:dyDescent="0.3">
      <c r="A13" s="32">
        <v>44928</v>
      </c>
      <c r="B13" s="17" t="s">
        <v>60</v>
      </c>
      <c r="C13" s="17" t="e">
        <v>#N/A</v>
      </c>
      <c r="D13" s="2">
        <v>20</v>
      </c>
    </row>
    <row r="14" spans="1:8" ht="14.4" x14ac:dyDescent="0.3">
      <c r="A14" s="32">
        <v>44929</v>
      </c>
      <c r="B14" s="17" t="s">
        <v>61</v>
      </c>
      <c r="C14" s="17">
        <v>50</v>
      </c>
      <c r="D14" s="2">
        <v>50</v>
      </c>
    </row>
    <row r="15" spans="1:8" ht="14.4" x14ac:dyDescent="0.3">
      <c r="A15" s="32">
        <v>44930</v>
      </c>
      <c r="B15" s="17" t="s">
        <v>62</v>
      </c>
      <c r="C15" s="17" t="e">
        <v>#N/A</v>
      </c>
      <c r="D15" s="2">
        <v>20</v>
      </c>
    </row>
    <row r="16" spans="1:8" ht="14.4" x14ac:dyDescent="0.3">
      <c r="A16" s="32">
        <v>44931</v>
      </c>
      <c r="B16" s="17" t="s">
        <v>63</v>
      </c>
      <c r="C16" s="17">
        <v>10</v>
      </c>
      <c r="D16" s="2">
        <v>10</v>
      </c>
    </row>
    <row r="17" spans="1:4" ht="14.4" x14ac:dyDescent="0.3">
      <c r="A17" s="32">
        <v>44932</v>
      </c>
      <c r="B17" s="17" t="s">
        <v>154</v>
      </c>
      <c r="C17" s="17">
        <v>150</v>
      </c>
      <c r="D17" s="2">
        <v>150</v>
      </c>
    </row>
    <row r="18" spans="1:4" ht="14.4" x14ac:dyDescent="0.3">
      <c r="A18" s="32">
        <v>44933</v>
      </c>
      <c r="B18" s="17" t="s">
        <v>155</v>
      </c>
      <c r="C18" s="17">
        <v>80</v>
      </c>
      <c r="D18" s="2">
        <v>80</v>
      </c>
    </row>
    <row r="19" spans="1:4" ht="14.4" x14ac:dyDescent="0.3">
      <c r="A19" s="32">
        <v>44934</v>
      </c>
      <c r="B19" s="17" t="s">
        <v>156</v>
      </c>
      <c r="C19" s="17" t="e">
        <v>#N/A</v>
      </c>
      <c r="D19" s="2">
        <v>20</v>
      </c>
    </row>
    <row r="20" spans="1:4" ht="14.4" x14ac:dyDescent="0.3">
      <c r="A20" s="32">
        <v>44935</v>
      </c>
      <c r="B20" s="17" t="s">
        <v>157</v>
      </c>
      <c r="C20" s="17">
        <v>30</v>
      </c>
      <c r="D20" s="2">
        <v>30</v>
      </c>
    </row>
    <row r="21" spans="1:4" ht="14.4" x14ac:dyDescent="0.3">
      <c r="A21" s="32">
        <v>44936</v>
      </c>
      <c r="B21" s="17" t="s">
        <v>158</v>
      </c>
      <c r="C21" s="17" t="e">
        <v>#N/A</v>
      </c>
      <c r="D21" s="2">
        <v>20</v>
      </c>
    </row>
    <row r="22" spans="1:4" ht="14.4" x14ac:dyDescent="0.3">
      <c r="B22" s="17" t="s">
        <v>159</v>
      </c>
      <c r="C22" s="25"/>
      <c r="D22" s="46">
        <f>SUM(_xlfn.ANCHORARRAY(D12))</f>
        <v>600</v>
      </c>
    </row>
  </sheetData>
  <mergeCells count="1">
    <mergeCell ref="B7:H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M7" sqref="M7"/>
    </sheetView>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151</v>
      </c>
    </row>
    <row r="4" spans="1:14" ht="18" x14ac:dyDescent="0.35">
      <c r="A4" s="43" t="s">
        <v>53</v>
      </c>
      <c r="B4" s="1"/>
      <c r="C4" s="46" t="s">
        <v>199</v>
      </c>
    </row>
    <row r="5" spans="1:14" ht="18" x14ac:dyDescent="0.35">
      <c r="A5" s="43" t="s">
        <v>153</v>
      </c>
      <c r="B5" s="1"/>
      <c r="C5" s="53" t="s">
        <v>200</v>
      </c>
      <c r="D5" s="55"/>
      <c r="E5" s="55"/>
      <c r="F5" s="55"/>
      <c r="G5" s="55"/>
      <c r="H5" s="55"/>
      <c r="I5" s="55"/>
      <c r="J5" s="55"/>
      <c r="K5" s="55"/>
    </row>
    <row r="6" spans="1:14" ht="14.4" x14ac:dyDescent="0.3">
      <c r="A6" s="3"/>
      <c r="B6" s="1"/>
      <c r="C6" s="55"/>
      <c r="D6" s="55"/>
      <c r="E6" s="55"/>
      <c r="F6" s="55"/>
      <c r="G6" s="55"/>
      <c r="H6" s="55"/>
      <c r="I6" s="55"/>
      <c r="J6" s="55"/>
      <c r="K6" s="55"/>
    </row>
    <row r="7" spans="1:14" x14ac:dyDescent="0.3">
      <c r="C7" s="55"/>
      <c r="D7" s="55"/>
      <c r="E7" s="55"/>
      <c r="F7" s="55"/>
      <c r="G7" s="55"/>
      <c r="H7" s="55"/>
      <c r="I7" s="55"/>
      <c r="J7" s="55"/>
      <c r="K7" s="55"/>
    </row>
    <row r="8" spans="1:14" ht="23.4" x14ac:dyDescent="0.45">
      <c r="A8" s="18" t="s">
        <v>162</v>
      </c>
      <c r="M8" s="18" t="s">
        <v>163</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c r="H22" s="2" t="s">
        <v>197</v>
      </c>
      <c r="I22" s="2" t="s">
        <v>198</v>
      </c>
    </row>
    <row r="23" spans="1:14" ht="14.4" x14ac:dyDescent="0.3">
      <c r="A23" s="7">
        <v>10100</v>
      </c>
      <c r="B23" s="12">
        <v>10102</v>
      </c>
      <c r="C23" s="44" cm="1">
        <f t="array" ref="C23:C35">INDEX($A$9:$J$18,MATCH(VLOOKUP(A23:A35,$M$9:$N$18,2,FALSE),$A$9:$A$18,0),MATCH(VLOOKUP(B23:B35,$M$9:$N$18,2,FALSE),$A$9:$J$9,0))</f>
        <v>95</v>
      </c>
      <c r="H23" s="2" t="str" cm="1">
        <f t="array" ref="H23:H35">VLOOKUP(A23:A35,$M$10:$N$18,2,FALSE)</f>
        <v>A</v>
      </c>
      <c r="I23" s="2" t="str" cm="1">
        <f t="array" ref="I23:I35">VLOOKUP(B23:B35,$M$10:$N$18,2,FALSE)</f>
        <v>B</v>
      </c>
    </row>
    <row r="24" spans="1:14" ht="14.4" x14ac:dyDescent="0.3">
      <c r="A24" s="7">
        <v>10100</v>
      </c>
      <c r="B24" s="12">
        <v>10104</v>
      </c>
      <c r="C24" s="44">
        <v>-1</v>
      </c>
      <c r="H24" s="2" t="str">
        <v>A</v>
      </c>
      <c r="I24" s="2" t="str">
        <v>C</v>
      </c>
    </row>
    <row r="25" spans="1:14" ht="14.4" x14ac:dyDescent="0.3">
      <c r="A25" s="7">
        <v>10108</v>
      </c>
      <c r="B25" s="12">
        <v>10102</v>
      </c>
      <c r="C25" s="44">
        <v>160</v>
      </c>
      <c r="H25" s="2" t="str">
        <v>E</v>
      </c>
      <c r="I25" s="2" t="str">
        <v>B</v>
      </c>
    </row>
    <row r="26" spans="1:14" ht="14.4" x14ac:dyDescent="0.3">
      <c r="A26" s="7">
        <v>10100</v>
      </c>
      <c r="B26" s="12">
        <v>10106</v>
      </c>
      <c r="C26" s="44">
        <v>185</v>
      </c>
      <c r="H26" s="2" t="str">
        <v>A</v>
      </c>
      <c r="I26" s="2" t="str">
        <v>D</v>
      </c>
    </row>
    <row r="27" spans="1:14" ht="14.4" x14ac:dyDescent="0.3">
      <c r="A27" s="7">
        <v>10108</v>
      </c>
      <c r="B27" s="12">
        <v>10110</v>
      </c>
      <c r="C27" s="44">
        <v>50</v>
      </c>
      <c r="H27" s="2" t="str">
        <v>E</v>
      </c>
      <c r="I27" s="2" t="str">
        <v>F</v>
      </c>
    </row>
    <row r="28" spans="1:14" ht="14.4" x14ac:dyDescent="0.3">
      <c r="A28" s="7">
        <v>10102</v>
      </c>
      <c r="B28" s="12">
        <v>10104</v>
      </c>
      <c r="C28" s="44">
        <v>-1</v>
      </c>
      <c r="H28" s="2" t="str">
        <v>B</v>
      </c>
      <c r="I28" s="2" t="str">
        <v>C</v>
      </c>
    </row>
    <row r="29" spans="1:14" ht="14.4" x14ac:dyDescent="0.3">
      <c r="A29" s="7">
        <v>10106</v>
      </c>
      <c r="B29" s="12">
        <v>10108</v>
      </c>
      <c r="C29" s="44">
        <v>70</v>
      </c>
      <c r="H29" s="2" t="str">
        <v>D</v>
      </c>
      <c r="I29" s="2" t="str">
        <v>E</v>
      </c>
    </row>
    <row r="30" spans="1:14" ht="14.4" x14ac:dyDescent="0.3">
      <c r="A30" s="7">
        <v>10102</v>
      </c>
      <c r="B30" s="12">
        <v>10106</v>
      </c>
      <c r="C30" s="44">
        <v>90</v>
      </c>
      <c r="H30" s="2" t="str">
        <v>B</v>
      </c>
      <c r="I30" s="2" t="str">
        <v>D</v>
      </c>
    </row>
    <row r="31" spans="1:14" ht="14.4" x14ac:dyDescent="0.3">
      <c r="A31" s="7">
        <v>10110</v>
      </c>
      <c r="B31" s="12">
        <v>10114</v>
      </c>
      <c r="C31" s="44">
        <v>180</v>
      </c>
      <c r="H31" s="2" t="str">
        <v>F</v>
      </c>
      <c r="I31" s="2" t="str">
        <v>H</v>
      </c>
    </row>
    <row r="32" spans="1:14" ht="14.4" x14ac:dyDescent="0.3">
      <c r="A32" s="7">
        <v>10104</v>
      </c>
      <c r="B32" s="12">
        <v>10106</v>
      </c>
      <c r="C32" s="44">
        <v>60</v>
      </c>
      <c r="H32" s="2" t="str">
        <v>C</v>
      </c>
      <c r="I32" s="2" t="str">
        <v>D</v>
      </c>
    </row>
    <row r="33" spans="1:9" ht="14.4" x14ac:dyDescent="0.3">
      <c r="A33" s="7">
        <v>10110</v>
      </c>
      <c r="B33" s="12">
        <v>10112</v>
      </c>
      <c r="C33" s="44">
        <v>115</v>
      </c>
      <c r="H33" s="2" t="str">
        <v>F</v>
      </c>
      <c r="I33" s="2" t="str">
        <v>G</v>
      </c>
    </row>
    <row r="34" spans="1:9" ht="14.4" x14ac:dyDescent="0.3">
      <c r="A34" s="7">
        <v>10100</v>
      </c>
      <c r="B34" s="12">
        <v>10114</v>
      </c>
      <c r="C34" s="44">
        <v>480</v>
      </c>
      <c r="H34" s="2" t="str">
        <v>A</v>
      </c>
      <c r="I34" s="2" t="str">
        <v>H</v>
      </c>
    </row>
    <row r="35" spans="1:9" ht="14.4" x14ac:dyDescent="0.3">
      <c r="A35" s="9">
        <v>10112</v>
      </c>
      <c r="B35" s="13">
        <v>10116</v>
      </c>
      <c r="C35" s="45">
        <v>105</v>
      </c>
      <c r="H35" s="2" t="str">
        <v>G</v>
      </c>
      <c r="I35" s="2" t="str">
        <v>I</v>
      </c>
    </row>
  </sheetData>
  <mergeCells count="1">
    <mergeCell ref="C5:K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SNEHA BANDLA</cp:lastModifiedBy>
  <dcterms:created xsi:type="dcterms:W3CDTF">2015-02-10T17:33:11Z</dcterms:created>
  <dcterms:modified xsi:type="dcterms:W3CDTF">2024-10-22T11:35:22Z</dcterms:modified>
</cp:coreProperties>
</file>